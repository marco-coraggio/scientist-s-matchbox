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2d2aef7352d2ea4/lavoro_marco/GEN_template_e_moduli/scientist's_matchbox/development_released/templates/template_gantt_chart/"/>
    </mc:Choice>
  </mc:AlternateContent>
  <xr:revisionPtr revIDLastSave="31" documentId="13_ncr:1_{0C22446E-5090-4196-9E17-82BC10F630F5}" xr6:coauthVersionLast="47" xr6:coauthVersionMax="47" xr10:uidLastSave="{E982A9B8-6AFD-47EF-973C-8BBE881DFBA7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1" l="1"/>
  <c r="D1" i="1"/>
  <c r="E3" i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D1" i="1" s="1"/>
  <c r="K2" i="1" l="1"/>
  <c r="I2" i="1"/>
  <c r="J2" i="1"/>
  <c r="H2" i="1"/>
  <c r="H1" i="1"/>
  <c r="AO2" i="1"/>
  <c r="O2" i="1"/>
  <c r="G2" i="1"/>
  <c r="J1" i="1"/>
  <c r="AA1" i="1"/>
  <c r="AQ1" i="1"/>
  <c r="AG2" i="1"/>
  <c r="L1" i="1"/>
  <c r="AB1" i="1"/>
  <c r="AR1" i="1"/>
  <c r="E2" i="1"/>
  <c r="AC1" i="1"/>
  <c r="BA1" i="1"/>
  <c r="Y2" i="1"/>
  <c r="AD1" i="1"/>
  <c r="BB1" i="1"/>
  <c r="BD2" i="1"/>
  <c r="X2" i="1"/>
  <c r="F1" i="1"/>
  <c r="O1" i="1"/>
  <c r="W1" i="1"/>
  <c r="AE1" i="1"/>
  <c r="AM1" i="1"/>
  <c r="AU1" i="1"/>
  <c r="BC1" i="1"/>
  <c r="R1" i="1"/>
  <c r="Z1" i="1"/>
  <c r="AH1" i="1"/>
  <c r="AP1" i="1"/>
  <c r="AX1" i="1"/>
  <c r="AN2" i="1"/>
  <c r="K1" i="1"/>
  <c r="S1" i="1"/>
  <c r="AI1" i="1"/>
  <c r="AY1" i="1"/>
  <c r="F2" i="1"/>
  <c r="T1" i="1"/>
  <c r="AJ1" i="1"/>
  <c r="AZ1" i="1"/>
  <c r="AF2" i="1"/>
  <c r="U1" i="1"/>
  <c r="AS1" i="1"/>
  <c r="E1" i="1"/>
  <c r="N1" i="1"/>
  <c r="AL1" i="1"/>
  <c r="AW2" i="1"/>
  <c r="Q2" i="1"/>
  <c r="G1" i="1"/>
  <c r="P1" i="1"/>
  <c r="X1" i="1"/>
  <c r="AF1" i="1"/>
  <c r="AN1" i="1"/>
  <c r="AV1" i="1"/>
  <c r="M1" i="1"/>
  <c r="AK1" i="1"/>
  <c r="V1" i="1"/>
  <c r="AT1" i="1"/>
  <c r="AV2" i="1"/>
  <c r="P2" i="1"/>
  <c r="I1" i="1"/>
  <c r="Q1" i="1"/>
  <c r="Y1" i="1"/>
  <c r="AG1" i="1"/>
  <c r="AO1" i="1"/>
  <c r="AW1" i="1"/>
  <c r="AY2" i="1"/>
  <c r="AQ2" i="1"/>
  <c r="AI2" i="1"/>
  <c r="AA2" i="1"/>
  <c r="S2" i="1"/>
  <c r="BC2" i="1"/>
  <c r="AU2" i="1"/>
  <c r="AM2" i="1"/>
  <c r="AE2" i="1"/>
  <c r="W2" i="1"/>
  <c r="BB2" i="1"/>
  <c r="AT2" i="1"/>
  <c r="AL2" i="1"/>
  <c r="AD2" i="1"/>
  <c r="V2" i="1"/>
  <c r="N2" i="1"/>
  <c r="BA2" i="1"/>
  <c r="AS2" i="1"/>
  <c r="AK2" i="1"/>
  <c r="AC2" i="1"/>
  <c r="U2" i="1"/>
  <c r="M2" i="1"/>
  <c r="AZ2" i="1"/>
  <c r="AR2" i="1"/>
  <c r="AJ2" i="1"/>
  <c r="AB2" i="1"/>
  <c r="T2" i="1"/>
  <c r="L2" i="1"/>
  <c r="BG3" i="1"/>
  <c r="AX2" i="1"/>
  <c r="AP2" i="1"/>
  <c r="AH2" i="1"/>
  <c r="Z2" i="1"/>
  <c r="R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Coraggio</author>
  </authors>
  <commentList>
    <comment ref="A1" authorId="0" shapeId="0" xr:uid="{ACF5FD95-C10B-47DF-B9AE-A4953D9039F6}">
      <text>
        <r>
          <rPr>
            <b/>
            <sz val="9"/>
            <color indexed="81"/>
            <rFont val="Tahoma"/>
            <family val="2"/>
          </rPr>
          <t>Marco Coraggio:</t>
        </r>
        <r>
          <rPr>
            <sz val="9"/>
            <color indexed="81"/>
            <rFont val="Tahoma"/>
            <family val="2"/>
          </rPr>
          <t xml:space="preserve">
h1: header of section
h2: header of subsection
a1: activity
a2: subactivity</t>
        </r>
      </text>
    </comment>
    <comment ref="C1" authorId="0" shapeId="0" xr:uid="{D21E7E02-F832-4FDB-9928-E708336F954C}">
      <text>
        <r>
          <rPr>
            <b/>
            <sz val="9"/>
            <color indexed="81"/>
            <rFont val="Tahoma"/>
            <family val="2"/>
          </rPr>
          <t>Marco Coraggio:</t>
        </r>
        <r>
          <rPr>
            <sz val="9"/>
            <color indexed="81"/>
            <rFont val="Tahoma"/>
            <family val="2"/>
          </rPr>
          <t xml:space="preserve">
p = priority
c = completed
a = abandoned</t>
        </r>
      </text>
    </comment>
    <comment ref="D3" authorId="0" shapeId="0" xr:uid="{237BC336-F610-4F31-A34A-6C5B0411ADDE}">
      <text>
        <r>
          <rPr>
            <b/>
            <sz val="9"/>
            <color indexed="81"/>
            <rFont val="Tahoma"/>
            <family val="2"/>
          </rPr>
          <t>Marco Coraggio:</t>
        </r>
        <r>
          <rPr>
            <sz val="9"/>
            <color indexed="81"/>
            <rFont val="Tahoma"/>
            <family val="2"/>
          </rPr>
          <t xml:space="preserve">
Write starting data here</t>
        </r>
      </text>
    </comment>
  </commentList>
</comments>
</file>

<file path=xl/sharedStrings.xml><?xml version="1.0" encoding="utf-8"?>
<sst xmlns="http://schemas.openxmlformats.org/spreadsheetml/2006/main" count="88" uniqueCount="22">
  <si>
    <t>Activity</t>
  </si>
  <si>
    <t>© 2023 Marco Coraggio, CC BY-NC-SA (Creative Commons Attribution-NonCommercial-ShareAlike 4.0 International License)</t>
  </si>
  <si>
    <t>-</t>
  </si>
  <si>
    <t>25/01 event</t>
  </si>
  <si>
    <t>h1</t>
  </si>
  <si>
    <t>h2</t>
  </si>
  <si>
    <t>a1</t>
  </si>
  <si>
    <t>a2</t>
  </si>
  <si>
    <t>Level</t>
  </si>
  <si>
    <t>v1.1.0</t>
  </si>
  <si>
    <t>Subgroup</t>
  </si>
  <si>
    <t>Group</t>
  </si>
  <si>
    <t>Subactivity</t>
  </si>
  <si>
    <t xml:space="preserve">- </t>
  </si>
  <si>
    <t>c</t>
  </si>
  <si>
    <t>Status</t>
  </si>
  <si>
    <t>p</t>
  </si>
  <si>
    <t>a</t>
  </si>
  <si>
    <t>date</t>
  </si>
  <si>
    <t>Macroactivity/subsubgroup</t>
  </si>
  <si>
    <t>h3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</si>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</sst>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;@"/>
    <numFmt numFmtId="165" formatCode="[$-409]mmm;@"/>
    <numFmt numFmtId="166" formatCode="[$-409]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Consolas"/>
      <family val="3"/>
    </font>
    <font>
      <sz val="9"/>
      <color theme="1"/>
      <name val="Arial"/>
      <family val="2"/>
    </font>
    <font>
      <sz val="9"/>
      <color theme="1"/>
      <name val="Consolas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9"/>
      <color theme="1" tint="0.499984740745262"/>
      <name val="Consolas"/>
      <family val="3"/>
    </font>
    <font>
      <sz val="11"/>
      <color theme="1" tint="0.499984740745262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top"/>
    </xf>
    <xf numFmtId="49" fontId="1" fillId="0" borderId="3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10" fillId="0" borderId="2" xfId="1" applyBorder="1" applyAlignment="1">
      <alignment horizontal="left" vertical="top"/>
    </xf>
    <xf numFmtId="0" fontId="11" fillId="2" borderId="0" xfId="0" applyFont="1" applyFill="1" applyAlignment="1">
      <alignment horizontal="left" vertical="top"/>
    </xf>
    <xf numFmtId="0" fontId="11" fillId="2" borderId="1" xfId="0" applyFont="1" applyFill="1" applyBorder="1" applyAlignment="1">
      <alignment horizontal="left" vertical="top"/>
    </xf>
    <xf numFmtId="166" fontId="7" fillId="3" borderId="2" xfId="0" applyNumberFormat="1" applyFont="1" applyFill="1" applyBorder="1" applyAlignment="1">
      <alignment horizontal="left" vertical="top"/>
    </xf>
    <xf numFmtId="166" fontId="7" fillId="3" borderId="0" xfId="0" applyNumberFormat="1" applyFont="1" applyFill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165" fontId="1" fillId="3" borderId="2" xfId="0" applyNumberFormat="1" applyFont="1" applyFill="1" applyBorder="1" applyAlignment="1">
      <alignment horizontal="left" vertical="top"/>
    </xf>
    <xf numFmtId="165" fontId="1" fillId="3" borderId="0" xfId="0" applyNumberFormat="1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164" fontId="5" fillId="3" borderId="2" xfId="0" applyNumberFormat="1" applyFont="1" applyFill="1" applyBorder="1" applyAlignment="1">
      <alignment horizontal="left" vertical="top"/>
    </xf>
    <xf numFmtId="164" fontId="5" fillId="3" borderId="0" xfId="0" applyNumberFormat="1" applyFont="1" applyFill="1" applyAlignment="1">
      <alignment horizontal="left" vertical="top"/>
    </xf>
    <xf numFmtId="164" fontId="0" fillId="3" borderId="0" xfId="0" applyNumberFormat="1" applyFill="1" applyAlignment="1">
      <alignment horizontal="left" vertical="top"/>
    </xf>
    <xf numFmtId="0" fontId="12" fillId="0" borderId="0" xfId="0" applyFont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3" borderId="0" xfId="0" applyFont="1" applyFill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top" textRotation="180" wrapText="1"/>
    </xf>
    <xf numFmtId="0" fontId="3" fillId="3" borderId="1" xfId="0" applyFont="1" applyFill="1" applyBorder="1" applyAlignment="1">
      <alignment horizontal="left" vertical="top" textRotation="180" wrapText="1"/>
    </xf>
  </cellXfs>
  <cellStyles count="2">
    <cellStyle name="Hyperlink" xfId="1" builtinId="8"/>
    <cellStyle name="Normal" xfId="0" builtinId="0"/>
  </cellStyles>
  <dxfs count="38">
    <dxf>
      <border>
        <left style="thin">
          <color theme="0"/>
        </left>
        <right style="thin">
          <color theme="0"/>
        </right>
        <vertical/>
        <horizontal/>
      </border>
    </dxf>
    <dxf>
      <border>
        <left style="thin">
          <color auto="1"/>
        </left>
        <vertical/>
        <horizontal/>
      </border>
    </dxf>
    <dxf>
      <font>
        <strike/>
        <color theme="1" tint="0.499984740745262"/>
      </font>
      <border>
        <vertical/>
        <horizontal/>
      </border>
    </dxf>
    <dxf>
      <font>
        <strike/>
        <color rgb="FF538034"/>
      </font>
      <border>
        <vertical/>
        <horizontal/>
      </border>
    </dxf>
    <dxf>
      <font>
        <color rgb="FF862D00"/>
      </font>
      <border>
        <vertical/>
        <horizontal/>
      </border>
    </dxf>
    <dxf>
      <font>
        <color rgb="FF5D2884"/>
      </font>
      <border>
        <vertical/>
        <horizontal/>
      </border>
    </dxf>
    <dxf>
      <fill>
        <gradientFill>
          <stop position="0">
            <color theme="8" tint="0.80001220740379042"/>
          </stop>
          <stop position="1">
            <color theme="0"/>
          </stop>
        </gradientFill>
      </fill>
      <border>
        <vertical/>
        <horizontal/>
      </border>
    </dxf>
    <dxf>
      <fill>
        <patternFill>
          <bgColor theme="7" tint="0.79998168889431442"/>
        </patternFill>
      </fill>
    </dxf>
    <dxf>
      <border>
        <left style="thin">
          <color theme="8"/>
        </left>
        <vertical/>
        <horizontal/>
      </border>
    </dxf>
    <dxf>
      <font>
        <b/>
        <i val="0"/>
      </font>
      <fill>
        <patternFill>
          <bgColor rgb="FF99CCFF"/>
        </patternFill>
      </fill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</border>
    </dxf>
    <dxf>
      <font>
        <b val="0"/>
        <i val="0"/>
        <u val="none"/>
      </font>
      <border>
        <vertical/>
        <horizontal/>
      </border>
    </dxf>
    <dxf>
      <font>
        <b/>
        <i val="0"/>
        <u val="none"/>
      </font>
      <fill>
        <patternFill patternType="none">
          <bgColor auto="1"/>
        </patternFill>
      </fill>
      <border>
        <vertical/>
        <horizontal/>
      </border>
    </dxf>
    <dxf>
      <font>
        <b/>
        <i val="0"/>
        <u/>
      </font>
      <fill>
        <patternFill patternType="solid">
          <fgColor auto="1"/>
          <bgColor theme="0" tint="-4.9989318521683403E-2"/>
        </patternFill>
      </fill>
      <border>
        <top style="thin">
          <color theme="1" tint="0.499984740745262"/>
        </top>
        <vertical/>
        <horizontal/>
      </border>
    </dxf>
    <dxf>
      <font>
        <b/>
        <i val="0"/>
        <u val="double"/>
      </font>
      <fill>
        <patternFill patternType="solid">
          <fgColor auto="1"/>
          <bgColor theme="0" tint="-0.14996795556505021"/>
        </patternFill>
      </fill>
      <border>
        <top style="thin">
          <color auto="1"/>
        </top>
        <vertical/>
        <horizontal/>
      </border>
    </dxf>
    <dxf>
      <font>
        <strike/>
        <color theme="1" tint="0.499984740745262"/>
      </font>
      <border>
        <vertical/>
        <horizontal/>
      </border>
    </dxf>
    <dxf>
      <font>
        <strike/>
        <color rgb="FF538034"/>
      </font>
      <fill>
        <patternFill patternType="solid">
          <fgColor auto="1"/>
          <bgColor theme="9" tint="0.79998168889431442"/>
        </patternFill>
      </fill>
      <border>
        <vertical/>
        <horizontal/>
      </border>
    </dxf>
    <dxf>
      <font>
        <color rgb="FF862D00"/>
      </font>
      <fill>
        <patternFill patternType="solid">
          <fgColor auto="1"/>
          <bgColor theme="5" tint="0.79998168889431442"/>
        </patternFill>
      </fill>
      <border>
        <vertical/>
        <horizontal/>
      </border>
    </dxf>
    <dxf>
      <font>
        <color rgb="FF5D2884"/>
      </font>
      <fill>
        <patternFill patternType="solid">
          <fgColor auto="1"/>
          <bgColor rgb="FFE6D5F3"/>
        </patternFill>
      </fill>
      <border>
        <vertical/>
        <horizontal/>
      </border>
    </dxf>
    <dxf>
      <font>
        <b val="0"/>
        <i/>
        <u val="none"/>
      </font>
      <border>
        <vertical/>
        <horizontal/>
      </border>
    </dxf>
    <dxf>
      <fill>
        <gradientFill>
          <stop position="0">
            <color theme="8" tint="0.80001220740379042"/>
          </stop>
          <stop position="1">
            <color theme="0"/>
          </stop>
        </gradientFill>
      </fill>
      <border>
        <vertical/>
        <horizontal/>
      </border>
    </dxf>
    <dxf>
      <border>
        <left style="thin">
          <color theme="0"/>
        </left>
        <right style="thin">
          <color theme="0"/>
        </right>
        <vertical/>
        <horizontal/>
      </border>
    </dxf>
    <dxf>
      <border>
        <left style="thin">
          <color auto="1"/>
        </left>
        <vertical/>
        <horizontal/>
      </border>
    </dxf>
    <dxf>
      <font>
        <strike/>
        <color theme="1" tint="0.499984740745262"/>
      </font>
      <border>
        <vertical/>
        <horizontal/>
      </border>
    </dxf>
    <dxf>
      <font>
        <strike/>
        <color rgb="FF538034"/>
      </font>
      <border>
        <vertical/>
        <horizontal/>
      </border>
    </dxf>
    <dxf>
      <font>
        <color rgb="FF862D00"/>
      </font>
      <border>
        <vertical/>
        <horizontal/>
      </border>
    </dxf>
    <dxf>
      <font>
        <color rgb="FF5D2884"/>
      </font>
      <border>
        <vertical/>
        <horizontal/>
      </border>
    </dxf>
    <dxf>
      <fill>
        <patternFill>
          <bgColor theme="7" tint="0.79998168889431442"/>
        </patternFill>
      </fill>
    </dxf>
    <dxf>
      <border>
        <left style="thin">
          <color theme="8"/>
        </left>
        <vertical/>
        <horizontal/>
      </border>
    </dxf>
    <dxf>
      <font>
        <b/>
        <i val="0"/>
      </font>
      <fill>
        <patternFill>
          <bgColor rgb="FF99CCFF"/>
        </patternFill>
      </fill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</border>
    </dxf>
    <dxf>
      <font>
        <b val="0"/>
        <i val="0"/>
        <u val="none"/>
      </font>
      <border>
        <vertical/>
        <horizontal/>
      </border>
    </dxf>
    <dxf>
      <font>
        <b/>
        <i val="0"/>
        <u val="none"/>
      </font>
      <fill>
        <patternFill patternType="none">
          <bgColor auto="1"/>
        </patternFill>
      </fill>
      <border>
        <vertical/>
        <horizontal/>
      </border>
    </dxf>
    <dxf>
      <font>
        <b/>
        <i val="0"/>
        <u/>
      </font>
      <fill>
        <patternFill patternType="solid">
          <fgColor auto="1"/>
          <bgColor theme="0" tint="-4.9989318521683403E-2"/>
        </patternFill>
      </fill>
      <border>
        <top style="thin">
          <color theme="1" tint="0.499984740745262"/>
        </top>
        <vertical/>
        <horizontal/>
      </border>
    </dxf>
    <dxf>
      <font>
        <b/>
        <i val="0"/>
        <u val="double"/>
      </font>
      <fill>
        <patternFill patternType="solid">
          <fgColor auto="1"/>
          <bgColor theme="0" tint="-0.14996795556505021"/>
        </patternFill>
      </fill>
      <border>
        <top style="thin">
          <color auto="1"/>
        </top>
        <vertical/>
        <horizontal/>
      </border>
    </dxf>
    <dxf>
      <font>
        <strike/>
        <color theme="1" tint="0.499984740745262"/>
      </font>
      <border>
        <vertical/>
        <horizontal/>
      </border>
    </dxf>
    <dxf>
      <font>
        <strike/>
        <color rgb="FF538034"/>
      </font>
      <fill>
        <patternFill patternType="solid">
          <fgColor auto="1"/>
          <bgColor theme="9" tint="0.79998168889431442"/>
        </patternFill>
      </fill>
      <border>
        <vertical/>
        <horizontal/>
      </border>
    </dxf>
    <dxf>
      <font>
        <color rgb="FF862D00"/>
      </font>
      <fill>
        <patternFill patternType="solid">
          <fgColor auto="1"/>
          <bgColor theme="5" tint="0.79998168889431442"/>
        </patternFill>
      </fill>
      <border>
        <vertical/>
        <horizontal/>
      </border>
    </dxf>
    <dxf>
      <font>
        <color rgb="FF5D2884"/>
      </font>
      <fill>
        <patternFill patternType="solid">
          <fgColor auto="1"/>
          <bgColor rgb="FFE6D5F3"/>
        </patternFill>
      </fill>
      <border>
        <vertical/>
        <horizontal/>
      </border>
    </dxf>
    <dxf>
      <font>
        <b val="0"/>
        <i/>
        <u val="none"/>
      </font>
      <border>
        <vertical/>
        <horizontal/>
      </border>
    </dxf>
  </dxfs>
  <tableStyles count="0" defaultTableStyle="TableStyleMedium2" defaultPivotStyle="PivotStyleLight16"/>
  <colors>
    <mruColors>
      <color rgb="FF5D2884"/>
      <color rgb="FFE6D5F3"/>
      <color rgb="FF862D00"/>
      <color rgb="FF538034"/>
      <color rgb="FFFFC9C9"/>
      <color rgb="FFFFAFAF"/>
      <color rgb="FF8E50B0"/>
      <color rgb="FF6666FF"/>
      <color rgb="FFCC99FF"/>
      <color rgb="FFF7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marco-coraggio.com/scientist-s-matchbo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36</xdr:row>
      <xdr:rowOff>19050</xdr:rowOff>
    </xdr:from>
    <xdr:to>
      <xdr:col>13</xdr:col>
      <xdr:colOff>38100</xdr:colOff>
      <xdr:row>40</xdr:row>
      <xdr:rowOff>5785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013A32-76E4-565C-2ABE-3B660AFF5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7010400"/>
          <a:ext cx="4219575" cy="7411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-nc-sa/4.0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G44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11" sqref="L11"/>
    </sheetView>
  </sheetViews>
  <sheetFormatPr defaultColWidth="9.7109375" defaultRowHeight="15" x14ac:dyDescent="0.25"/>
  <cols>
    <col min="1" max="1" width="2.7109375" style="1" customWidth="1"/>
    <col min="2" max="2" width="29.140625" style="1" customWidth="1"/>
    <col min="3" max="3" width="2.7109375" style="24" customWidth="1"/>
    <col min="4" max="4" width="6.28515625" style="9" customWidth="1"/>
    <col min="5" max="56" width="6.28515625" style="1" customWidth="1"/>
    <col min="57" max="16384" width="9.7109375" style="1"/>
  </cols>
  <sheetData>
    <row r="1" spans="1:59" s="15" customFormat="1" ht="12" customHeight="1" x14ac:dyDescent="0.25">
      <c r="A1" s="27" t="s">
        <v>8</v>
      </c>
      <c r="B1" s="25" t="s">
        <v>0</v>
      </c>
      <c r="C1" s="27" t="s">
        <v>15</v>
      </c>
      <c r="D1" s="13">
        <f>D3</f>
        <v>45292</v>
      </c>
      <c r="E1" s="14" t="str">
        <f t="shared" ref="E1:H2" si="0">IF(MONTH(E$3)&lt;&gt;MONTH(D$3),E$3,"")</f>
        <v/>
      </c>
      <c r="F1" s="14" t="str">
        <f t="shared" si="0"/>
        <v/>
      </c>
      <c r="G1" s="14" t="str">
        <f t="shared" si="0"/>
        <v/>
      </c>
      <c r="H1" s="14" t="str">
        <f t="shared" si="0"/>
        <v/>
      </c>
      <c r="I1" s="14">
        <f>IF(MONTH(I$3)&lt;&gt;MONTH(H$3),I$3,"")</f>
        <v>45327</v>
      </c>
      <c r="J1" s="14" t="str">
        <f t="shared" ref="J1:BD2" si="1">IF(MONTH(J$3)&lt;&gt;MONTH(I$3),J$3,"")</f>
        <v/>
      </c>
      <c r="K1" s="14" t="str">
        <f t="shared" si="1"/>
        <v/>
      </c>
      <c r="L1" s="14" t="str">
        <f t="shared" si="1"/>
        <v/>
      </c>
      <c r="M1" s="14">
        <f t="shared" si="1"/>
        <v>45355</v>
      </c>
      <c r="N1" s="14" t="str">
        <f t="shared" si="1"/>
        <v/>
      </c>
      <c r="O1" s="14" t="str">
        <f t="shared" si="1"/>
        <v/>
      </c>
      <c r="P1" s="14" t="str">
        <f t="shared" si="1"/>
        <v/>
      </c>
      <c r="Q1" s="14">
        <f t="shared" si="1"/>
        <v>45383</v>
      </c>
      <c r="R1" s="14" t="str">
        <f t="shared" si="1"/>
        <v/>
      </c>
      <c r="S1" s="14" t="str">
        <f t="shared" si="1"/>
        <v/>
      </c>
      <c r="T1" s="14" t="str">
        <f t="shared" si="1"/>
        <v/>
      </c>
      <c r="U1" s="14" t="str">
        <f t="shared" si="1"/>
        <v/>
      </c>
      <c r="V1" s="14">
        <f t="shared" si="1"/>
        <v>45418</v>
      </c>
      <c r="W1" s="14" t="str">
        <f t="shared" si="1"/>
        <v/>
      </c>
      <c r="X1" s="14" t="str">
        <f t="shared" si="1"/>
        <v/>
      </c>
      <c r="Y1" s="14" t="str">
        <f t="shared" si="1"/>
        <v/>
      </c>
      <c r="Z1" s="14">
        <f t="shared" si="1"/>
        <v>45446</v>
      </c>
      <c r="AA1" s="14" t="str">
        <f t="shared" si="1"/>
        <v/>
      </c>
      <c r="AB1" s="14" t="str">
        <f t="shared" si="1"/>
        <v/>
      </c>
      <c r="AC1" s="14" t="str">
        <f t="shared" si="1"/>
        <v/>
      </c>
      <c r="AD1" s="14">
        <f t="shared" si="1"/>
        <v>45474</v>
      </c>
      <c r="AE1" s="14" t="str">
        <f t="shared" si="1"/>
        <v/>
      </c>
      <c r="AF1" s="14" t="str">
        <f t="shared" si="1"/>
        <v/>
      </c>
      <c r="AG1" s="14" t="str">
        <f t="shared" si="1"/>
        <v/>
      </c>
      <c r="AH1" s="14" t="str">
        <f t="shared" si="1"/>
        <v/>
      </c>
      <c r="AI1" s="14">
        <f t="shared" si="1"/>
        <v>45509</v>
      </c>
      <c r="AJ1" s="14" t="str">
        <f t="shared" si="1"/>
        <v/>
      </c>
      <c r="AK1" s="14" t="str">
        <f t="shared" si="1"/>
        <v/>
      </c>
      <c r="AL1" s="14" t="str">
        <f t="shared" si="1"/>
        <v/>
      </c>
      <c r="AM1" s="14">
        <f t="shared" si="1"/>
        <v>45537</v>
      </c>
      <c r="AN1" s="14" t="str">
        <f t="shared" si="1"/>
        <v/>
      </c>
      <c r="AO1" s="14" t="str">
        <f t="shared" si="1"/>
        <v/>
      </c>
      <c r="AP1" s="14" t="str">
        <f t="shared" si="1"/>
        <v/>
      </c>
      <c r="AQ1" s="14" t="str">
        <f t="shared" si="1"/>
        <v/>
      </c>
      <c r="AR1" s="14">
        <f t="shared" si="1"/>
        <v>45572</v>
      </c>
      <c r="AS1" s="14" t="str">
        <f t="shared" si="1"/>
        <v/>
      </c>
      <c r="AT1" s="14" t="str">
        <f t="shared" si="1"/>
        <v/>
      </c>
      <c r="AU1" s="14" t="str">
        <f t="shared" si="1"/>
        <v/>
      </c>
      <c r="AV1" s="14">
        <f t="shared" si="1"/>
        <v>45600</v>
      </c>
      <c r="AW1" s="14" t="str">
        <f t="shared" si="1"/>
        <v/>
      </c>
      <c r="AX1" s="14" t="str">
        <f t="shared" si="1"/>
        <v/>
      </c>
      <c r="AY1" s="14" t="str">
        <f t="shared" si="1"/>
        <v/>
      </c>
      <c r="AZ1" s="14">
        <f t="shared" si="1"/>
        <v>45628</v>
      </c>
      <c r="BA1" s="14" t="str">
        <f t="shared" si="1"/>
        <v/>
      </c>
      <c r="BB1" s="14" t="str">
        <f t="shared" si="1"/>
        <v/>
      </c>
      <c r="BC1" s="14" t="str">
        <f t="shared" si="1"/>
        <v/>
      </c>
      <c r="BD1" s="14" t="str">
        <f t="shared" si="1"/>
        <v/>
      </c>
    </row>
    <row r="2" spans="1:59" s="18" customFormat="1" ht="15" customHeight="1" x14ac:dyDescent="0.25">
      <c r="A2" s="27"/>
      <c r="B2" s="25"/>
      <c r="C2" s="27"/>
      <c r="D2" s="16">
        <f>D3</f>
        <v>45292</v>
      </c>
      <c r="E2" s="17" t="str">
        <f t="shared" si="0"/>
        <v/>
      </c>
      <c r="F2" s="17" t="str">
        <f t="shared" si="0"/>
        <v/>
      </c>
      <c r="G2" s="17" t="str">
        <f t="shared" si="0"/>
        <v/>
      </c>
      <c r="H2" s="17" t="str">
        <f t="shared" si="0"/>
        <v/>
      </c>
      <c r="I2" s="17">
        <f>IF(MONTH(I$3)&lt;&gt;MONTH(H$3),I$3,"")</f>
        <v>45327</v>
      </c>
      <c r="J2" s="17" t="str">
        <f t="shared" si="1"/>
        <v/>
      </c>
      <c r="K2" s="17" t="str">
        <f t="shared" si="1"/>
        <v/>
      </c>
      <c r="L2" s="17" t="str">
        <f t="shared" si="1"/>
        <v/>
      </c>
      <c r="M2" s="17">
        <f t="shared" si="1"/>
        <v>45355</v>
      </c>
      <c r="N2" s="17" t="str">
        <f t="shared" si="1"/>
        <v/>
      </c>
      <c r="O2" s="17" t="str">
        <f t="shared" si="1"/>
        <v/>
      </c>
      <c r="P2" s="17" t="str">
        <f t="shared" si="1"/>
        <v/>
      </c>
      <c r="Q2" s="17">
        <f t="shared" si="1"/>
        <v>45383</v>
      </c>
      <c r="R2" s="17" t="str">
        <f t="shared" si="1"/>
        <v/>
      </c>
      <c r="S2" s="17" t="str">
        <f t="shared" si="1"/>
        <v/>
      </c>
      <c r="T2" s="17" t="str">
        <f t="shared" si="1"/>
        <v/>
      </c>
      <c r="U2" s="17" t="str">
        <f t="shared" si="1"/>
        <v/>
      </c>
      <c r="V2" s="17">
        <f t="shared" si="1"/>
        <v>45418</v>
      </c>
      <c r="W2" s="17" t="str">
        <f t="shared" si="1"/>
        <v/>
      </c>
      <c r="X2" s="17" t="str">
        <f t="shared" si="1"/>
        <v/>
      </c>
      <c r="Y2" s="17" t="str">
        <f t="shared" si="1"/>
        <v/>
      </c>
      <c r="Z2" s="17">
        <f t="shared" si="1"/>
        <v>45446</v>
      </c>
      <c r="AA2" s="17" t="str">
        <f t="shared" si="1"/>
        <v/>
      </c>
      <c r="AB2" s="17" t="str">
        <f t="shared" si="1"/>
        <v/>
      </c>
      <c r="AC2" s="17" t="str">
        <f t="shared" si="1"/>
        <v/>
      </c>
      <c r="AD2" s="17">
        <f t="shared" si="1"/>
        <v>45474</v>
      </c>
      <c r="AE2" s="17" t="str">
        <f t="shared" si="1"/>
        <v/>
      </c>
      <c r="AF2" s="17" t="str">
        <f t="shared" si="1"/>
        <v/>
      </c>
      <c r="AG2" s="17" t="str">
        <f t="shared" si="1"/>
        <v/>
      </c>
      <c r="AH2" s="17" t="str">
        <f t="shared" si="1"/>
        <v/>
      </c>
      <c r="AI2" s="17">
        <f t="shared" si="1"/>
        <v>45509</v>
      </c>
      <c r="AJ2" s="17" t="str">
        <f t="shared" si="1"/>
        <v/>
      </c>
      <c r="AK2" s="17" t="str">
        <f t="shared" si="1"/>
        <v/>
      </c>
      <c r="AL2" s="17" t="str">
        <f t="shared" si="1"/>
        <v/>
      </c>
      <c r="AM2" s="17">
        <f t="shared" si="1"/>
        <v>45537</v>
      </c>
      <c r="AN2" s="17" t="str">
        <f t="shared" si="1"/>
        <v/>
      </c>
      <c r="AO2" s="17" t="str">
        <f t="shared" si="1"/>
        <v/>
      </c>
      <c r="AP2" s="17" t="str">
        <f t="shared" si="1"/>
        <v/>
      </c>
      <c r="AQ2" s="17" t="str">
        <f t="shared" si="1"/>
        <v/>
      </c>
      <c r="AR2" s="17">
        <f t="shared" si="1"/>
        <v>45572</v>
      </c>
      <c r="AS2" s="17" t="str">
        <f t="shared" si="1"/>
        <v/>
      </c>
      <c r="AT2" s="17" t="str">
        <f t="shared" si="1"/>
        <v/>
      </c>
      <c r="AU2" s="17" t="str">
        <f t="shared" si="1"/>
        <v/>
      </c>
      <c r="AV2" s="17">
        <f t="shared" si="1"/>
        <v>45600</v>
      </c>
      <c r="AW2" s="17" t="str">
        <f t="shared" si="1"/>
        <v/>
      </c>
      <c r="AX2" s="17" t="str">
        <f t="shared" si="1"/>
        <v/>
      </c>
      <c r="AY2" s="17" t="str">
        <f t="shared" si="1"/>
        <v/>
      </c>
      <c r="AZ2" s="17">
        <f t="shared" si="1"/>
        <v>45628</v>
      </c>
      <c r="BA2" s="17" t="str">
        <f t="shared" si="1"/>
        <v/>
      </c>
      <c r="BB2" s="17" t="str">
        <f t="shared" si="1"/>
        <v/>
      </c>
      <c r="BC2" s="17" t="str">
        <f t="shared" si="1"/>
        <v/>
      </c>
      <c r="BD2" s="17" t="str">
        <f t="shared" si="1"/>
        <v/>
      </c>
    </row>
    <row r="3" spans="1:59" s="21" customFormat="1" x14ac:dyDescent="0.25">
      <c r="A3" s="28"/>
      <c r="B3" s="26"/>
      <c r="C3" s="28"/>
      <c r="D3" s="19">
        <v>45292</v>
      </c>
      <c r="E3" s="20">
        <f t="shared" ref="E3" si="2">D3+7</f>
        <v>45299</v>
      </c>
      <c r="F3" s="20">
        <f t="shared" ref="F3" si="3">E3+7</f>
        <v>45306</v>
      </c>
      <c r="G3" s="20">
        <f t="shared" ref="G3" si="4">F3+7</f>
        <v>45313</v>
      </c>
      <c r="H3" s="20">
        <f t="shared" ref="H3" si="5">G3+7</f>
        <v>45320</v>
      </c>
      <c r="I3" s="20">
        <f t="shared" ref="I3" si="6">H3+7</f>
        <v>45327</v>
      </c>
      <c r="J3" s="20">
        <f t="shared" ref="J3" si="7">I3+7</f>
        <v>45334</v>
      </c>
      <c r="K3" s="20">
        <f t="shared" ref="K3" si="8">J3+7</f>
        <v>45341</v>
      </c>
      <c r="L3" s="20">
        <f t="shared" ref="L3" si="9">K3+7</f>
        <v>45348</v>
      </c>
      <c r="M3" s="20">
        <f t="shared" ref="M3" si="10">L3+7</f>
        <v>45355</v>
      </c>
      <c r="N3" s="20">
        <f t="shared" ref="N3" si="11">M3+7</f>
        <v>45362</v>
      </c>
      <c r="O3" s="20">
        <f t="shared" ref="O3" si="12">N3+7</f>
        <v>45369</v>
      </c>
      <c r="P3" s="20">
        <f t="shared" ref="P3" si="13">O3+7</f>
        <v>45376</v>
      </c>
      <c r="Q3" s="20">
        <f t="shared" ref="Q3" si="14">P3+7</f>
        <v>45383</v>
      </c>
      <c r="R3" s="20">
        <f t="shared" ref="R3" si="15">Q3+7</f>
        <v>45390</v>
      </c>
      <c r="S3" s="20">
        <f t="shared" ref="S3" si="16">R3+7</f>
        <v>45397</v>
      </c>
      <c r="T3" s="20">
        <f t="shared" ref="T3" si="17">S3+7</f>
        <v>45404</v>
      </c>
      <c r="U3" s="20">
        <f t="shared" ref="U3" si="18">T3+7</f>
        <v>45411</v>
      </c>
      <c r="V3" s="20">
        <f t="shared" ref="V3" si="19">U3+7</f>
        <v>45418</v>
      </c>
      <c r="W3" s="20">
        <f t="shared" ref="W3:AE3" si="20">V3+7</f>
        <v>45425</v>
      </c>
      <c r="X3" s="20">
        <f t="shared" si="20"/>
        <v>45432</v>
      </c>
      <c r="Y3" s="20">
        <f t="shared" si="20"/>
        <v>45439</v>
      </c>
      <c r="Z3" s="20">
        <f t="shared" si="20"/>
        <v>45446</v>
      </c>
      <c r="AA3" s="20">
        <f t="shared" si="20"/>
        <v>45453</v>
      </c>
      <c r="AB3" s="20">
        <f t="shared" si="20"/>
        <v>45460</v>
      </c>
      <c r="AC3" s="20">
        <f t="shared" si="20"/>
        <v>45467</v>
      </c>
      <c r="AD3" s="20">
        <f t="shared" si="20"/>
        <v>45474</v>
      </c>
      <c r="AE3" s="20">
        <f t="shared" si="20"/>
        <v>45481</v>
      </c>
      <c r="AF3" s="20">
        <f t="shared" ref="AF3" si="21">AE3+7</f>
        <v>45488</v>
      </c>
      <c r="AG3" s="20">
        <f t="shared" ref="AG3" si="22">AF3+7</f>
        <v>45495</v>
      </c>
      <c r="AH3" s="20">
        <f t="shared" ref="AH3" si="23">AG3+7</f>
        <v>45502</v>
      </c>
      <c r="AI3" s="20">
        <f t="shared" ref="AI3" si="24">AH3+7</f>
        <v>45509</v>
      </c>
      <c r="AJ3" s="20">
        <f t="shared" ref="AJ3" si="25">AI3+7</f>
        <v>45516</v>
      </c>
      <c r="AK3" s="20">
        <f t="shared" ref="AK3" si="26">AJ3+7</f>
        <v>45523</v>
      </c>
      <c r="AL3" s="20">
        <f t="shared" ref="AL3" si="27">AK3+7</f>
        <v>45530</v>
      </c>
      <c r="AM3" s="20">
        <f t="shared" ref="AM3" si="28">AL3+7</f>
        <v>45537</v>
      </c>
      <c r="AN3" s="20">
        <f t="shared" ref="AN3" si="29">AM3+7</f>
        <v>45544</v>
      </c>
      <c r="AO3" s="20">
        <f t="shared" ref="AO3" si="30">AN3+7</f>
        <v>45551</v>
      </c>
      <c r="AP3" s="20">
        <f t="shared" ref="AP3" si="31">AO3+7</f>
        <v>45558</v>
      </c>
      <c r="AQ3" s="20">
        <f t="shared" ref="AQ3" si="32">AP3+7</f>
        <v>45565</v>
      </c>
      <c r="AR3" s="20">
        <f t="shared" ref="AR3" si="33">AQ3+7</f>
        <v>45572</v>
      </c>
      <c r="AS3" s="20">
        <f t="shared" ref="AS3" si="34">AR3+7</f>
        <v>45579</v>
      </c>
      <c r="AT3" s="20">
        <f t="shared" ref="AT3" si="35">AS3+7</f>
        <v>45586</v>
      </c>
      <c r="AU3" s="20">
        <f t="shared" ref="AU3" si="36">AT3+7</f>
        <v>45593</v>
      </c>
      <c r="AV3" s="20">
        <f t="shared" ref="AV3" si="37">AU3+7</f>
        <v>45600</v>
      </c>
      <c r="AW3" s="20">
        <f t="shared" ref="AW3" si="38">AV3+7</f>
        <v>45607</v>
      </c>
      <c r="AX3" s="20">
        <f t="shared" ref="AX3" si="39">AW3+7</f>
        <v>45614</v>
      </c>
      <c r="AY3" s="20">
        <f t="shared" ref="AY3" si="40">AX3+7</f>
        <v>45621</v>
      </c>
      <c r="AZ3" s="20">
        <f t="shared" ref="AZ3" si="41">AY3+7</f>
        <v>45628</v>
      </c>
      <c r="BA3" s="20">
        <f t="shared" ref="BA3" si="42">AZ3+7</f>
        <v>45635</v>
      </c>
      <c r="BB3" s="20">
        <f t="shared" ref="BB3" si="43">BA3+7</f>
        <v>45642</v>
      </c>
      <c r="BC3" s="20">
        <f t="shared" ref="BC3" si="44">BB3+7</f>
        <v>45649</v>
      </c>
      <c r="BD3" s="20">
        <f t="shared" ref="BD3" si="45">BC3+7</f>
        <v>45656</v>
      </c>
      <c r="BG3" s="21" t="str">
        <f>IF(MONTH(BA3)&lt;&gt;MONTH(AZ3),BA3,"")</f>
        <v/>
      </c>
    </row>
    <row r="4" spans="1:59" x14ac:dyDescent="0.25">
      <c r="A4" s="11" t="s">
        <v>4</v>
      </c>
      <c r="B4" s="3" t="s">
        <v>11</v>
      </c>
      <c r="C4" s="22"/>
      <c r="D4" s="7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</row>
    <row r="5" spans="1:59" x14ac:dyDescent="0.25">
      <c r="A5" s="11" t="s">
        <v>5</v>
      </c>
      <c r="B5" s="3" t="s">
        <v>10</v>
      </c>
      <c r="C5" s="22"/>
      <c r="D5" s="7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</row>
    <row r="6" spans="1:59" x14ac:dyDescent="0.25">
      <c r="A6" s="11" t="s">
        <v>6</v>
      </c>
      <c r="B6" s="3" t="s">
        <v>0</v>
      </c>
      <c r="C6" s="22"/>
      <c r="D6" s="7"/>
      <c r="E6" s="5"/>
      <c r="F6" s="5"/>
      <c r="G6" s="5" t="s">
        <v>2</v>
      </c>
      <c r="H6" s="5" t="s">
        <v>2</v>
      </c>
      <c r="I6" s="5" t="s">
        <v>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</row>
    <row r="7" spans="1:59" x14ac:dyDescent="0.25">
      <c r="A7" s="11" t="s">
        <v>6</v>
      </c>
      <c r="B7" s="3" t="s">
        <v>0</v>
      </c>
      <c r="C7" s="22"/>
      <c r="D7" s="7"/>
      <c r="E7" s="5"/>
      <c r="F7" s="5"/>
      <c r="G7" s="5" t="s">
        <v>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</row>
    <row r="8" spans="1:59" x14ac:dyDescent="0.25">
      <c r="A8" s="11" t="s">
        <v>5</v>
      </c>
      <c r="B8" s="3" t="s">
        <v>10</v>
      </c>
      <c r="C8" s="22"/>
      <c r="D8" s="7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</row>
    <row r="9" spans="1:59" x14ac:dyDescent="0.25">
      <c r="A9" s="11" t="s">
        <v>6</v>
      </c>
      <c r="B9" s="3" t="s">
        <v>0</v>
      </c>
      <c r="C9" s="22"/>
      <c r="D9" s="7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</row>
    <row r="10" spans="1:59" x14ac:dyDescent="0.25">
      <c r="A10" s="11" t="s">
        <v>20</v>
      </c>
      <c r="B10" s="3" t="s">
        <v>19</v>
      </c>
      <c r="C10" s="22"/>
      <c r="D10" s="7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</row>
    <row r="11" spans="1:59" x14ac:dyDescent="0.25">
      <c r="A11" s="11" t="s">
        <v>7</v>
      </c>
      <c r="B11" s="3" t="s">
        <v>12</v>
      </c>
      <c r="C11" s="22"/>
      <c r="D11" s="7"/>
      <c r="E11" s="5"/>
      <c r="F11" s="5"/>
      <c r="G11" s="5" t="s">
        <v>2</v>
      </c>
      <c r="H11" s="5" t="s">
        <v>2</v>
      </c>
      <c r="I11" s="5" t="s">
        <v>2</v>
      </c>
      <c r="J11" s="5" t="s">
        <v>2</v>
      </c>
      <c r="K11" s="5" t="s">
        <v>13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</row>
    <row r="12" spans="1:59" x14ac:dyDescent="0.25">
      <c r="A12" s="11" t="s">
        <v>7</v>
      </c>
      <c r="B12" s="3" t="s">
        <v>12</v>
      </c>
      <c r="C12" s="22"/>
      <c r="D12" s="7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</row>
    <row r="13" spans="1:59" x14ac:dyDescent="0.25">
      <c r="A13" s="11" t="s">
        <v>6</v>
      </c>
      <c r="B13" s="3" t="s">
        <v>0</v>
      </c>
      <c r="C13" s="22"/>
      <c r="D13" s="7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</row>
    <row r="14" spans="1:59" x14ac:dyDescent="0.25">
      <c r="A14" s="11" t="s">
        <v>6</v>
      </c>
      <c r="B14" s="3" t="s">
        <v>0</v>
      </c>
      <c r="C14" s="22"/>
      <c r="D14" s="7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</row>
    <row r="15" spans="1:59" x14ac:dyDescent="0.25">
      <c r="A15" s="11" t="s">
        <v>4</v>
      </c>
      <c r="B15" s="3" t="s">
        <v>11</v>
      </c>
      <c r="C15" s="22"/>
      <c r="D15" s="7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</row>
    <row r="16" spans="1:59" x14ac:dyDescent="0.25">
      <c r="A16" s="11" t="s">
        <v>6</v>
      </c>
      <c r="B16" s="3" t="s">
        <v>0</v>
      </c>
      <c r="C16" s="22" t="s">
        <v>21</v>
      </c>
      <c r="D16" s="7"/>
      <c r="E16" s="5"/>
      <c r="F16" s="5"/>
      <c r="G16" s="5"/>
      <c r="H16" s="5" t="s">
        <v>18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</row>
    <row r="17" spans="1:56" x14ac:dyDescent="0.25">
      <c r="A17" s="11" t="s">
        <v>6</v>
      </c>
      <c r="B17" s="3" t="s">
        <v>0</v>
      </c>
      <c r="C17" s="22" t="s">
        <v>16</v>
      </c>
      <c r="D17" s="7"/>
      <c r="E17" s="5"/>
      <c r="F17" s="5"/>
      <c r="G17" s="5"/>
      <c r="H17" s="5" t="s">
        <v>18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</row>
    <row r="18" spans="1:56" x14ac:dyDescent="0.25">
      <c r="A18" s="11" t="s">
        <v>6</v>
      </c>
      <c r="B18" s="3" t="s">
        <v>0</v>
      </c>
      <c r="C18" s="22" t="s">
        <v>14</v>
      </c>
      <c r="D18" s="7"/>
      <c r="E18" s="5"/>
      <c r="F18" s="5"/>
      <c r="G18" s="5"/>
      <c r="H18" s="5" t="s">
        <v>18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</row>
    <row r="19" spans="1:56" x14ac:dyDescent="0.25">
      <c r="A19" s="11" t="s">
        <v>6</v>
      </c>
      <c r="B19" s="3" t="s">
        <v>0</v>
      </c>
      <c r="C19" s="22" t="s">
        <v>17</v>
      </c>
      <c r="D19" s="7"/>
      <c r="E19" s="5"/>
      <c r="F19" s="5"/>
      <c r="G19" s="5"/>
      <c r="H19" s="5" t="s">
        <v>18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</row>
    <row r="20" spans="1:56" x14ac:dyDescent="0.25">
      <c r="A20" s="11" t="s">
        <v>6</v>
      </c>
      <c r="B20" s="3" t="s">
        <v>0</v>
      </c>
      <c r="C20" s="22"/>
      <c r="D20" s="7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</row>
    <row r="21" spans="1:56" x14ac:dyDescent="0.25">
      <c r="A21" s="11" t="s">
        <v>6</v>
      </c>
      <c r="B21" s="3" t="s">
        <v>0</v>
      </c>
      <c r="C21" s="22"/>
      <c r="D21" s="7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</row>
    <row r="22" spans="1:56" x14ac:dyDescent="0.25">
      <c r="A22" s="11" t="s">
        <v>6</v>
      </c>
      <c r="B22" s="3" t="s">
        <v>0</v>
      </c>
      <c r="C22" s="22"/>
      <c r="D22" s="7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</row>
    <row r="23" spans="1:56" x14ac:dyDescent="0.25">
      <c r="A23" s="11" t="s">
        <v>6</v>
      </c>
      <c r="B23" s="3" t="s">
        <v>0</v>
      </c>
      <c r="C23" s="22"/>
      <c r="D23" s="7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</row>
    <row r="24" spans="1:56" x14ac:dyDescent="0.25">
      <c r="A24" s="11" t="s">
        <v>6</v>
      </c>
      <c r="B24" s="3" t="s">
        <v>0</v>
      </c>
      <c r="C24" s="22"/>
      <c r="D24" s="7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</row>
    <row r="25" spans="1:56" x14ac:dyDescent="0.25">
      <c r="A25" s="11" t="s">
        <v>6</v>
      </c>
      <c r="B25" s="3" t="s">
        <v>0</v>
      </c>
      <c r="C25" s="22"/>
      <c r="D25" s="7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</row>
    <row r="26" spans="1:56" x14ac:dyDescent="0.25">
      <c r="A26" s="11" t="s">
        <v>6</v>
      </c>
      <c r="B26" s="3" t="s">
        <v>0</v>
      </c>
      <c r="C26" s="22"/>
      <c r="D26" s="7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</row>
    <row r="27" spans="1:56" x14ac:dyDescent="0.25">
      <c r="A27" s="11" t="s">
        <v>6</v>
      </c>
      <c r="B27" s="3" t="s">
        <v>0</v>
      </c>
      <c r="C27" s="22"/>
      <c r="D27" s="7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</row>
    <row r="28" spans="1:56" x14ac:dyDescent="0.25">
      <c r="A28" s="11" t="s">
        <v>6</v>
      </c>
      <c r="B28" s="3" t="s">
        <v>0</v>
      </c>
      <c r="C28" s="22"/>
      <c r="D28" s="7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</row>
    <row r="29" spans="1:56" x14ac:dyDescent="0.25">
      <c r="A29" s="11" t="s">
        <v>6</v>
      </c>
      <c r="B29" s="3" t="s">
        <v>0</v>
      </c>
      <c r="C29" s="22"/>
      <c r="D29" s="7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</row>
    <row r="30" spans="1:56" x14ac:dyDescent="0.25">
      <c r="A30" s="11" t="s">
        <v>6</v>
      </c>
      <c r="B30" s="3" t="s">
        <v>0</v>
      </c>
      <c r="C30" s="22"/>
      <c r="D30" s="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</row>
    <row r="31" spans="1:56" x14ac:dyDescent="0.25">
      <c r="A31" s="11" t="s">
        <v>6</v>
      </c>
      <c r="B31" s="3" t="s">
        <v>0</v>
      </c>
      <c r="C31" s="22"/>
      <c r="D31" s="7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</row>
    <row r="32" spans="1:56" x14ac:dyDescent="0.25">
      <c r="A32" s="11" t="s">
        <v>6</v>
      </c>
      <c r="B32" s="3" t="s">
        <v>0</v>
      </c>
      <c r="C32" s="22"/>
      <c r="D32" s="7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</row>
    <row r="33" spans="1:56" x14ac:dyDescent="0.25">
      <c r="A33" s="11" t="s">
        <v>6</v>
      </c>
      <c r="B33" s="3" t="s">
        <v>0</v>
      </c>
      <c r="C33" s="22"/>
      <c r="D33" s="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</row>
    <row r="34" spans="1:56" x14ac:dyDescent="0.25">
      <c r="A34" s="11" t="s">
        <v>6</v>
      </c>
      <c r="B34" s="3" t="s">
        <v>0</v>
      </c>
      <c r="C34" s="22"/>
      <c r="D34" s="7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</row>
    <row r="35" spans="1:56" x14ac:dyDescent="0.25">
      <c r="A35" s="11" t="s">
        <v>6</v>
      </c>
      <c r="B35" s="3" t="s">
        <v>0</v>
      </c>
      <c r="C35" s="22"/>
      <c r="D35" s="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</row>
    <row r="36" spans="1:56" s="2" customFormat="1" x14ac:dyDescent="0.25">
      <c r="A36" s="12" t="s">
        <v>6</v>
      </c>
      <c r="B36" s="4" t="s">
        <v>0</v>
      </c>
      <c r="C36" s="23"/>
      <c r="D36" s="8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</row>
    <row r="42" spans="1:56" x14ac:dyDescent="0.25">
      <c r="D42" s="10" t="s">
        <v>1</v>
      </c>
    </row>
    <row r="44" spans="1:56" x14ac:dyDescent="0.25">
      <c r="D44" s="9" t="s">
        <v>9</v>
      </c>
    </row>
  </sheetData>
  <mergeCells count="3">
    <mergeCell ref="B1:B3"/>
    <mergeCell ref="C1:C3"/>
    <mergeCell ref="A1:A3"/>
  </mergeCells>
  <phoneticPr fontId="4" type="noConversion"/>
  <conditionalFormatting sqref="B4:B36 D4:BD36">
    <cfRule type="expression" dxfId="37" priority="314">
      <formula>$A4="a2"</formula>
    </cfRule>
  </conditionalFormatting>
  <conditionalFormatting sqref="B4:B36">
    <cfRule type="expression" dxfId="36" priority="4">
      <formula>$C4="l"</formula>
    </cfRule>
    <cfRule type="expression" dxfId="35" priority="6">
      <formula>$C4="p"</formula>
    </cfRule>
    <cfRule type="expression" dxfId="34" priority="8">
      <formula>$C4="c"</formula>
    </cfRule>
    <cfRule type="expression" dxfId="33" priority="10">
      <formula>$C4="a"</formula>
    </cfRule>
  </conditionalFormatting>
  <conditionalFormatting sqref="B4:BD36">
    <cfRule type="expression" dxfId="32" priority="12">
      <formula>$A4="h1"</formula>
    </cfRule>
    <cfRule type="expression" dxfId="31" priority="13">
      <formula>$A4="h2"</formula>
    </cfRule>
    <cfRule type="expression" dxfId="30" priority="14">
      <formula>$A4="h3"</formula>
    </cfRule>
    <cfRule type="expression" dxfId="29" priority="311">
      <formula>$A4="a1"</formula>
    </cfRule>
  </conditionalFormatting>
  <conditionalFormatting sqref="D3:BD3">
    <cfRule type="expression" dxfId="28" priority="315">
      <formula>AND(TODAY()&gt;=D$3, TODAY()&lt;D$3+7)</formula>
    </cfRule>
  </conditionalFormatting>
  <conditionalFormatting sqref="D4:BD36">
    <cfRule type="expression" dxfId="27" priority="1">
      <formula>AND(TODAY()&gt;=D$3, TODAY()&lt;D$3+7)</formula>
    </cfRule>
    <cfRule type="notContainsBlanks" dxfId="26" priority="3">
      <formula>LEN(TRIM(D4))&gt;0</formula>
    </cfRule>
    <cfRule type="expression" dxfId="19" priority="316">
      <formula>AND(TODAY()&gt;=D$3, TODAY()&lt;E$3)</formula>
    </cfRule>
  </conditionalFormatting>
  <conditionalFormatting sqref="D4:BE36">
    <cfRule type="expression" dxfId="25" priority="5">
      <formula>$C4="l"</formula>
    </cfRule>
    <cfRule type="expression" dxfId="24" priority="7">
      <formula>$C4="p"</formula>
    </cfRule>
    <cfRule type="expression" dxfId="23" priority="9">
      <formula>$C4="c"</formula>
    </cfRule>
    <cfRule type="expression" dxfId="22" priority="11">
      <formula>$C4="a"</formula>
    </cfRule>
  </conditionalFormatting>
  <conditionalFormatting sqref="E1:BD36">
    <cfRule type="expression" dxfId="21" priority="2">
      <formula>E$2&lt;&gt;""</formula>
    </cfRule>
  </conditionalFormatting>
  <conditionalFormatting sqref="E4:BD36">
    <cfRule type="expression" dxfId="20" priority="15">
      <formula>$A4="h3"</formula>
    </cfRule>
  </conditionalFormatting>
  <dataValidations count="1">
    <dataValidation type="list" errorStyle="warning" allowBlank="1" showInputMessage="1" showErrorMessage="1" sqref="C4:C1048576" xr:uid="{E0A133FD-2E78-469F-A4A7-07403611DCD5}">
      <formula1>"l,p,c,a"</formula1>
    </dataValidation>
  </dataValidations>
  <hyperlinks>
    <hyperlink ref="D42" r:id="rId1" display="© 2023 Marco Coraggio, CC BY-NC-SA (Creative Commons Attribution-NonCommercial-ShareAlike 4.0 International License)." xr:uid="{1874CB59-4854-4B8F-AA6D-B1CC5CBFF412}"/>
  </hyperlinks>
  <pageMargins left="0.7" right="0.7" top="0.75" bottom="0.75" header="0.3" footer="0.3"/>
  <pageSetup paperSize="9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Coraggio</dc:creator>
  <cp:lastModifiedBy>Marco Coraggio</cp:lastModifiedBy>
  <dcterms:created xsi:type="dcterms:W3CDTF">2015-06-05T18:17:20Z</dcterms:created>
  <dcterms:modified xsi:type="dcterms:W3CDTF">2024-09-09T20:06:21Z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2024-09-05T10:43:07Z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048ee552-e010-4bf2-bc72-ca714b0450b8</vt:lpwstr>
  </property>
  <property fmtid="{D5CDD505-2E9C-101B-9397-08002B2CF9AE}" pid="8" name="MSIP_Label_2ad0b24d-6422-44b0-b3de-abb3a9e8c81a_ContentBits">
    <vt:lpwstr>0</vt:lpwstr>
  </property>
</Properties>
</file>